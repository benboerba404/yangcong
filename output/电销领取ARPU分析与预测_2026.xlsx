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8080" activeTab="1"/>
  </bookViews>
  <sheets>
    <sheet name="历史数据" sheetId="1" r:id="rId1"/>
    <sheet name="2026预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<sst xmlns="http://schemas.openxmlformats.org/spreadsheetml/2006/main" count="74" uniqueCount="52">
  <si>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月份</t>
  </si>
  <si>
    <t>领取人次</t>
  </si>
  <si>
    <t>转化人次</t>
  </si>
  <si>
    <t>转化率</t>
  </si>
  <si>
    <t>客单价</t>
  </si>
  <si>
    <t>ARPU</t>
  </si>
  <si>
    <t>转化金额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</si>
  <si>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</si>
  <si>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</si>
  <si>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</si>
  <si>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</si>
  <si>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</si>
  <si>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</si>
  <si>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</si>
  <si>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</si>
  <si>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</si>
  <si>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</si>
  <si>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</si>
  <si>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</si>
  <si>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</si>
  <si>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</si>
  <si>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</si>
  <si>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</si>
  <si>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</si>
  <si>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</si>
  <si>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</si>
  <si>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</si>
  <si>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</si>
  <si>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</si>
  <si>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</si>
  <si>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</si>
  <si>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</si>
  <si>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</si>
  <si>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预测ARPU</t>
  </si>
  <si>
    <t>实际ARPU</t>
  </si>
  <si>
    <t>季节因子</t>
  </si>
  <si>
    <t>备注</t>
  </si>
  <si>
    <t>消耗去重之后的arpu</t>
  </si>
  <si>
    <t>实际</t>
  </si>
  <si>
    <t/>
  </si>
  <si>
    <t>未完月</t>
  </si>
  <si>
    <t>2026-03</t>
  </si>
  <si>
    <t>预测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</si>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</sst>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G12" sqref="G12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846268</v>
      </c>
      <c r="C2">
        <v>8267</v>
      </c>
      <c r="D2">
        <v>0.0098</v>
      </c>
      <c r="E2">
        <v>3542.02900810451</v>
      </c>
      <c r="F2">
        <v>34.6012773849419</v>
      </c>
      <c r="G2">
        <v>29281953.81</v>
      </c>
    </row>
    <row r="3" spans="1:7">
      <c r="A3" t="s">
        <v>8</v>
      </c>
      <c r="B3">
        <v>494097</v>
      </c>
      <c r="C3">
        <v>6100</v>
      </c>
      <c r="D3">
        <v>0.0123</v>
      </c>
      <c r="E3">
        <v>2776.40253278689</v>
      </c>
      <c r="F3">
        <v>34.2767825953204</v>
      </c>
      <c r="G3">
        <v>16936055.45</v>
      </c>
    </row>
    <row r="4" spans="1:7">
      <c r="A4" t="s">
        <v>9</v>
      </c>
      <c r="B4">
        <v>702989</v>
      </c>
      <c r="C4">
        <v>9593</v>
      </c>
      <c r="D4">
        <v>0.0136</v>
      </c>
      <c r="E4">
        <v>2818.51568331075</v>
      </c>
      <c r="F4">
        <v>38.4615135514212</v>
      </c>
      <c r="G4">
        <v>27038020.95</v>
      </c>
    </row>
    <row r="5" spans="1:7">
      <c r="A5" t="s">
        <v>10</v>
      </c>
      <c r="B5">
        <v>689249</v>
      </c>
      <c r="C5">
        <v>6006</v>
      </c>
      <c r="D5">
        <v>0.0087</v>
      </c>
      <c r="E5">
        <v>2765.92496003996</v>
      </c>
      <c r="F5">
        <v>24.1018054578244</v>
      </c>
      <c r="G5">
        <v>16612145.31</v>
      </c>
    </row>
    <row r="6" spans="1:7">
      <c r="A6" t="s">
        <v>11</v>
      </c>
      <c r="B6">
        <v>708238</v>
      </c>
      <c r="C6">
        <v>7199</v>
      </c>
      <c r="D6">
        <v>0.0102</v>
      </c>
      <c r="E6">
        <v>2987.36346020281</v>
      </c>
      <c r="F6">
        <v>30.3655403268393</v>
      </c>
      <c r="G6">
        <v>21506029.55</v>
      </c>
    </row>
    <row r="7" spans="1:7">
      <c r="A7" t="s">
        <v>12</v>
      </c>
      <c r="B7">
        <v>908496</v>
      </c>
      <c r="C7">
        <v>11524</v>
      </c>
      <c r="D7">
        <v>0.0127</v>
      </c>
      <c r="E7">
        <v>2029.24252603263</v>
      </c>
      <c r="F7">
        <v>25.7403344318522</v>
      </c>
      <c r="G7">
        <v>23384990.87</v>
      </c>
    </row>
    <row r="8" spans="1:7">
      <c r="A8" t="s">
        <v>13</v>
      </c>
      <c r="B8">
        <v>1278664</v>
      </c>
      <c r="C8">
        <v>25941</v>
      </c>
      <c r="D8">
        <v>0.0203</v>
      </c>
      <c r="E8">
        <v>2112.29848386724</v>
      </c>
      <c r="F8">
        <v>42.8534274602241</v>
      </c>
      <c r="G8">
        <v>54795134.97</v>
      </c>
    </row>
    <row r="9" spans="1:7">
      <c r="A9" t="s">
        <v>14</v>
      </c>
      <c r="B9">
        <v>973393</v>
      </c>
      <c r="C9">
        <v>7153</v>
      </c>
      <c r="D9">
        <v>0.0073</v>
      </c>
      <c r="E9">
        <v>2495.37970082483</v>
      </c>
      <c r="F9">
        <v>18.337352949939</v>
      </c>
      <c r="G9">
        <v>17849451</v>
      </c>
    </row>
    <row r="10" spans="1:7">
      <c r="A10" t="s">
        <v>15</v>
      </c>
      <c r="B10">
        <v>899989</v>
      </c>
      <c r="C10">
        <v>7372</v>
      </c>
      <c r="D10">
        <v>0.0082</v>
      </c>
      <c r="E10">
        <v>2996.20567145958</v>
      </c>
      <c r="F10">
        <v>24.5425535312098</v>
      </c>
      <c r="G10">
        <v>22088028.21</v>
      </c>
    </row>
    <row r="11" spans="1:7">
      <c r="A11" t="s">
        <v>16</v>
      </c>
      <c r="B11">
        <v>787019</v>
      </c>
      <c r="C11">
        <v>5680</v>
      </c>
      <c r="D11">
        <v>0.0072</v>
      </c>
      <c r="E11">
        <v>3384.20236267606</v>
      </c>
      <c r="F11">
        <v>24.4241491247352</v>
      </c>
      <c r="G11">
        <v>19222269.42</v>
      </c>
    </row>
    <row r="12" spans="1:7">
      <c r="A12" t="s">
        <v>17</v>
      </c>
      <c r="B12">
        <v>886599</v>
      </c>
      <c r="C12">
        <v>6681</v>
      </c>
      <c r="D12">
        <v>0.0075</v>
      </c>
      <c r="E12">
        <v>3435.26347552762</v>
      </c>
      <c r="F12">
        <v>25.8865566958681</v>
      </c>
      <c r="G12">
        <v>22950995.28</v>
      </c>
    </row>
    <row r="13" spans="1:7">
      <c r="A13" t="s">
        <v>18</v>
      </c>
      <c r="B13">
        <v>874397</v>
      </c>
      <c r="C13">
        <v>6343</v>
      </c>
      <c r="D13">
        <v>0.0073</v>
      </c>
      <c r="E13">
        <v>3212.15665457985</v>
      </c>
      <c r="F13">
        <v>23.3014404898462</v>
      </c>
      <c r="G13">
        <v>20374709.66</v>
      </c>
    </row>
    <row r="14" spans="1:7">
      <c r="A14" t="s">
        <v>19</v>
      </c>
      <c r="B14">
        <v>699606</v>
      </c>
      <c r="C14">
        <v>9089</v>
      </c>
      <c r="D14">
        <v>0.013</v>
      </c>
      <c r="E14">
        <v>2258.59058972384</v>
      </c>
      <c r="F14">
        <v>29.3427012775762</v>
      </c>
      <c r="G14">
        <v>20528329.87</v>
      </c>
    </row>
    <row r="15" spans="1:7">
      <c r="A15" t="s">
        <v>20</v>
      </c>
      <c r="B15">
        <v>653259</v>
      </c>
      <c r="C15">
        <v>9259</v>
      </c>
      <c r="D15">
        <v>0.0142</v>
      </c>
      <c r="E15">
        <v>2236.77232206502</v>
      </c>
      <c r="F15">
        <v>31.7030074289064</v>
      </c>
      <c r="G15">
        <v>20710274.93</v>
      </c>
    </row>
    <row r="16" spans="1:7">
      <c r="A16" t="s">
        <v>21</v>
      </c>
      <c r="B16">
        <v>1069064</v>
      </c>
      <c r="C16">
        <v>10390</v>
      </c>
      <c r="D16">
        <v>0.0097</v>
      </c>
      <c r="E16">
        <v>1459.87714821944</v>
      </c>
      <c r="F16">
        <v>14.1882278048835</v>
      </c>
      <c r="G16">
        <v>15168123.57</v>
      </c>
    </row>
    <row r="17" spans="1:7">
      <c r="A17" t="s">
        <v>22</v>
      </c>
      <c r="B17">
        <v>974610</v>
      </c>
      <c r="C17">
        <v>6668</v>
      </c>
      <c r="D17">
        <v>0.0068</v>
      </c>
      <c r="E17">
        <v>2071.80618176365</v>
      </c>
      <c r="F17">
        <v>14.1746992335396</v>
      </c>
      <c r="G17">
        <v>13814803.62</v>
      </c>
    </row>
    <row r="18" spans="1:7">
      <c r="A18" t="s">
        <v>23</v>
      </c>
      <c r="B18">
        <v>986517</v>
      </c>
      <c r="C18">
        <v>7581</v>
      </c>
      <c r="D18">
        <v>0.0077</v>
      </c>
      <c r="E18">
        <v>2477.44362748978</v>
      </c>
      <c r="F18">
        <v>19.0381920838668</v>
      </c>
      <c r="G18">
        <v>18781500.14</v>
      </c>
    </row>
    <row r="19" spans="1:7">
      <c r="A19" t="s">
        <v>24</v>
      </c>
      <c r="B19">
        <v>1173161</v>
      </c>
      <c r="C19">
        <v>7238</v>
      </c>
      <c r="D19">
        <v>0.0062</v>
      </c>
      <c r="E19">
        <v>2951.05766648245</v>
      </c>
      <c r="F19">
        <v>18.2070111348741</v>
      </c>
      <c r="G19">
        <v>21359755.39</v>
      </c>
    </row>
    <row r="20" spans="1:7">
      <c r="A20" t="s">
        <v>25</v>
      </c>
      <c r="B20">
        <v>1606955</v>
      </c>
      <c r="C20">
        <v>18915</v>
      </c>
      <c r="D20">
        <v>0.0118</v>
      </c>
      <c r="E20">
        <v>3051.5987295797</v>
      </c>
      <c r="F20">
        <v>35.9194812362512</v>
      </c>
      <c r="G20">
        <v>57720989.97</v>
      </c>
    </row>
    <row r="21" spans="1:7">
      <c r="A21" t="s">
        <v>26</v>
      </c>
      <c r="B21">
        <v>1087836</v>
      </c>
      <c r="C21">
        <v>6356</v>
      </c>
      <c r="D21">
        <v>0.0058</v>
      </c>
      <c r="E21">
        <v>3159.87765575834</v>
      </c>
      <c r="F21">
        <v>18.462509403991</v>
      </c>
      <c r="G21">
        <v>20084182.38</v>
      </c>
    </row>
    <row r="22" spans="1:7">
      <c r="A22" t="s">
        <v>27</v>
      </c>
      <c r="B22">
        <v>1171247</v>
      </c>
      <c r="C22">
        <v>7551</v>
      </c>
      <c r="D22">
        <v>0.0064</v>
      </c>
      <c r="E22">
        <v>3230.64885048338</v>
      </c>
      <c r="F22">
        <v>20.8279120202656</v>
      </c>
      <c r="G22">
        <v>24394629.47</v>
      </c>
    </row>
    <row r="23" spans="1:7">
      <c r="A23" t="s">
        <v>28</v>
      </c>
      <c r="B23">
        <v>952215</v>
      </c>
      <c r="C23">
        <v>7220</v>
      </c>
      <c r="D23">
        <v>0.0076</v>
      </c>
      <c r="E23">
        <v>3280.94536842105</v>
      </c>
      <c r="F23">
        <v>24.8771816869089</v>
      </c>
      <c r="G23">
        <v>23688425.56</v>
      </c>
    </row>
    <row r="24" spans="1:7">
      <c r="A24" t="s">
        <v>29</v>
      </c>
      <c r="B24">
        <v>1005444</v>
      </c>
      <c r="C24">
        <v>8067</v>
      </c>
      <c r="D24">
        <v>0.008</v>
      </c>
      <c r="E24">
        <v>3354.9364782447</v>
      </c>
      <c r="F24">
        <v>26.9177324346259</v>
      </c>
      <c r="G24">
        <v>27064272.57</v>
      </c>
    </row>
    <row r="25" spans="1:7">
      <c r="A25" t="s">
        <v>30</v>
      </c>
      <c r="B25">
        <v>859250</v>
      </c>
      <c r="C25">
        <v>7405</v>
      </c>
      <c r="D25">
        <v>0.0086</v>
      </c>
      <c r="E25">
        <v>3399.79694935854</v>
      </c>
      <c r="F25">
        <v>29.2993848239744</v>
      </c>
      <c r="G25">
        <v>25175496.41</v>
      </c>
    </row>
    <row r="26" spans="1:7">
      <c r="A26" t="s">
        <v>31</v>
      </c>
      <c r="B26">
        <v>880980</v>
      </c>
      <c r="C26">
        <v>6409</v>
      </c>
      <c r="D26">
        <v>0.0073</v>
      </c>
      <c r="E26">
        <v>3160.10963176783</v>
      </c>
      <c r="F26">
        <v>22.9893330495585</v>
      </c>
      <c r="G26">
        <v>20253142.63</v>
      </c>
    </row>
    <row r="27" spans="1:7">
      <c r="A27" t="s">
        <v>32</v>
      </c>
      <c r="B27">
        <v>322231</v>
      </c>
      <c r="C27">
        <v>2251</v>
      </c>
      <c r="D27">
        <v>0.007</v>
      </c>
      <c r="E27">
        <v>3001.69486894714</v>
      </c>
      <c r="F27">
        <v>20.9688551070505</v>
      </c>
      <c r="G27">
        <v>6756815.15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F12" sqref="F12"/>
    </sheetView>
  </sheetViews>
  <sheetFormatPr defaultColWidth="9" defaultRowHeight="14" outlineLevelCol="6"/>
  <cols>
    <col min="1" max="1" width="8.54545454545454" customWidth="1"/>
    <col min="2" max="3" width="10.1818181818182" customWidth="1"/>
    <col min="4" max="4" width="9.90909090909091" customWidth="1"/>
    <col min="5" max="5" width="7.54545454545455" customWidth="1"/>
    <col min="6" max="6" width="20.8181818181818" customWidth="1"/>
    <col min="7" max="7" width="11.7272727272727"/>
  </cols>
  <sheetData>
    <row r="1" spans="1:7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t="s">
        <v>37</v>
      </c>
    </row>
    <row r="2" spans="1:7">
      <c r="A2" t="s">
        <v>31</v>
      </c>
      <c r="B2">
        <v>23.89</v>
      </c>
      <c r="C2">
        <v>22.99</v>
      </c>
      <c r="D2">
        <v>1.11</v>
      </c>
      <c r="E2" t="s">
        <v>38</v>
      </c>
      <c r="F2">
        <v>27.71</v>
      </c>
      <c r="G2">
        <f>B2/F2</f>
        <v>0.862143630458318</v>
      </c>
    </row>
    <row r="3" spans="1:7">
      <c r="A3" t="s">
        <v>32</v>
      </c>
      <c r="B3">
        <v>26.72</v>
      </c>
      <c r="C3" t="s">
        <v>39</v>
      </c>
      <c r="D3">
        <v>1.263</v>
      </c>
      <c r="E3" t="s">
        <v>40</v>
      </c>
      <c r="F3" s="2">
        <f>B3/$G$2</f>
        <v>30.9925156969443</v>
      </c>
    </row>
    <row r="4" spans="1:7">
      <c r="A4" t="s">
        <v>41</v>
      </c>
      <c r="B4">
        <v>20.93</v>
      </c>
      <c r="C4" t="s">
        <v>39</v>
      </c>
      <c r="D4">
        <v>1.008</v>
      </c>
      <c r="E4" t="s">
        <v>42</v>
      </c>
      <c r="F4" s="2">
        <f t="shared" ref="F4:F13" si="0">B4/$G$2</f>
        <v>24.2766973629134</v>
      </c>
    </row>
    <row r="5" spans="1:7">
      <c r="A5" t="s">
        <v>43</v>
      </c>
      <c r="B5">
        <v>14.94</v>
      </c>
      <c r="C5" t="s">
        <v>39</v>
      </c>
      <c r="D5">
        <v>0.733</v>
      </c>
      <c r="E5" t="s">
        <v>42</v>
      </c>
      <c r="F5" s="2">
        <f t="shared" si="0"/>
        <v>17.3288991209711</v>
      </c>
    </row>
    <row r="6" spans="1:7">
      <c r="A6" t="s">
        <v>44</v>
      </c>
      <c r="B6">
        <v>18.92</v>
      </c>
      <c r="C6" t="s">
        <v>39</v>
      </c>
      <c r="D6">
        <v>0.946</v>
      </c>
      <c r="E6" t="s">
        <v>42</v>
      </c>
      <c r="F6" s="2">
        <f t="shared" si="0"/>
        <v>21.9452992884052</v>
      </c>
    </row>
    <row r="7" spans="1:7">
      <c r="A7" t="s">
        <v>45</v>
      </c>
      <c r="B7">
        <v>16.51</v>
      </c>
      <c r="C7" t="s">
        <v>39</v>
      </c>
      <c r="D7">
        <v>0.841</v>
      </c>
      <c r="E7" t="s">
        <v>42</v>
      </c>
      <c r="F7" s="2">
        <f t="shared" si="0"/>
        <v>19.1499413980745</v>
      </c>
    </row>
    <row r="8" spans="1:7">
      <c r="A8" t="s">
        <v>46</v>
      </c>
      <c r="B8">
        <v>29.02</v>
      </c>
      <c r="C8" t="s">
        <v>39</v>
      </c>
      <c r="D8">
        <v>1.508</v>
      </c>
      <c r="E8" t="s">
        <v>42</v>
      </c>
      <c r="F8" s="2">
        <f t="shared" si="0"/>
        <v>33.6602846379238</v>
      </c>
    </row>
    <row r="9" spans="1:7">
      <c r="A9" t="s">
        <v>47</v>
      </c>
      <c r="B9">
        <v>13.29</v>
      </c>
      <c r="C9" t="s">
        <v>39</v>
      </c>
      <c r="D9">
        <v>0.705</v>
      </c>
      <c r="E9" t="s">
        <v>42</v>
      </c>
      <c r="F9" s="2">
        <f t="shared" si="0"/>
        <v>15.4150648807032</v>
      </c>
    </row>
    <row r="10" spans="1:7">
      <c r="A10" t="s">
        <v>48</v>
      </c>
      <c r="B10">
        <v>16.05</v>
      </c>
      <c r="C10" t="s">
        <v>39</v>
      </c>
      <c r="D10">
        <v>0.869</v>
      </c>
      <c r="E10" t="s">
        <v>42</v>
      </c>
      <c r="F10" s="2">
        <f t="shared" si="0"/>
        <v>18.6163876098786</v>
      </c>
    </row>
    <row r="11" spans="1:7">
      <c r="A11" t="s">
        <v>49</v>
      </c>
      <c r="B11">
        <v>17.08</v>
      </c>
      <c r="C11" t="s">
        <v>39</v>
      </c>
      <c r="D11">
        <v>0.944</v>
      </c>
      <c r="E11" t="s">
        <v>42</v>
      </c>
      <c r="F11" s="2">
        <f t="shared" si="0"/>
        <v>19.8110841356216</v>
      </c>
    </row>
    <row r="12" spans="1:7">
      <c r="A12" t="s">
        <v>50</v>
      </c>
      <c r="B12">
        <v>17.91</v>
      </c>
      <c r="C12" t="s">
        <v>39</v>
      </c>
      <c r="D12">
        <v>1.011</v>
      </c>
      <c r="E12" t="s">
        <v>42</v>
      </c>
      <c r="F12" s="2">
        <f t="shared" si="0"/>
        <v>20.7738007534533</v>
      </c>
    </row>
    <row r="13" spans="1:7">
      <c r="A13" t="s">
        <v>51</v>
      </c>
      <c r="B13">
        <v>17.45</v>
      </c>
      <c r="C13" t="s">
        <v>39</v>
      </c>
      <c r="D13">
        <v>1.007</v>
      </c>
      <c r="E13" t="s">
        <v>42</v>
      </c>
      <c r="F13" s="2">
        <f t="shared" si="0"/>
        <v>20.2402469652574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历史数据</vt:lpstr>
      <vt:lpstr>2026预测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yangcong</cp:lastModifiedBy>
  <dcterms:created xsi:type="dcterms:W3CDTF">2026-02-13T07:29:00Z</dcterms:created>
  <dcterms:modified xsi:type="dcterms:W3CDTF">2026-02-13T07:40:51Z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2FF478AB438A436795F34C55862571A2_12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